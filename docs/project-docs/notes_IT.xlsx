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ésumé" sheetId="1" state="visible" r:id="rId1"/>
    <sheet name="École pro" sheetId="2" state="visible" r:id="rId2"/>
    <sheet name="CIE" sheetId="3" state="visible" r:id="rId3"/>
    <sheet name="TPI" sheetId="4" state="visible" r:id="rId4"/>
    <sheet name="ECG" sheetId="5" state="visible" r:id="rId5"/>
    <sheet name="CB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4"/>
    </font>
    <font>
      <b val="1"/>
      <sz val="12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  <fill>
      <patternFill patternType="solid">
        <f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  <xf numFmtId="9" fontId="0" fillId="0" borderId="0" pivotButton="0" quotePrefix="0" xfId="0"/>
    <xf numFmtId="0" fontId="2" fillId="0" borderId="0" pivotButton="0" quotePrefix="0" xfId="0"/>
    <xf numFmtId="164" fontId="2" fillId="4" borderId="0" pivotButton="0" quotePrefix="0" xfId="0"/>
    <xf numFmtId="0" fontId="4" fillId="0" borderId="0" pivotButton="0" quotePrefix="0" xfId="0"/>
    <xf numFmtId="164" fontId="0" fillId="3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F8CBA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4" customWidth="1" min="4" max="4"/>
    <col width="20" customWidth="1" min="5" max="5"/>
  </cols>
  <sheetData>
    <row r="1">
      <c r="A1" s="1" t="inlineStr">
        <is>
          <t>Informaticien·ne CFC — calcul de la note globale</t>
        </is>
      </c>
    </row>
    <row r="2">
      <c r="A2" t="inlineStr">
        <is>
          <t>Saisir les notes dans les cellules jaunes des autres onglets. Les vertes sont calculées.</t>
        </is>
      </c>
    </row>
    <row r="4">
      <c r="A4" s="2" t="inlineStr">
        <is>
          <t>Compétences en informatique</t>
        </is>
      </c>
      <c r="B4" s="2" t="inlineStr">
        <is>
          <t>Note</t>
        </is>
      </c>
      <c r="C4" s="2" t="inlineStr">
        <is>
          <t>Poids</t>
        </is>
      </c>
      <c r="D4" s="2" t="inlineStr">
        <is>
          <t>Note × poids</t>
        </is>
      </c>
      <c r="E4" s="2" t="inlineStr">
        <is>
          <t>Poids pris en compte</t>
        </is>
      </c>
    </row>
    <row r="5">
      <c r="A5" t="inlineStr">
        <is>
          <t>Modules école professionnelle</t>
        </is>
      </c>
      <c r="B5" s="3">
        <f>'École pro'!C28</f>
        <v/>
      </c>
      <c r="C5" s="4" t="n">
        <v>0.8</v>
      </c>
      <c r="D5">
        <f>IF(B5="","",B5*C5)</f>
        <v/>
      </c>
      <c r="E5">
        <f>IF(B5="","",C5)</f>
        <v/>
      </c>
    </row>
    <row r="6">
      <c r="A6" t="inlineStr">
        <is>
          <t>Modules cours interentreprises</t>
        </is>
      </c>
      <c r="B6" s="3">
        <f>'CIE'!C19</f>
        <v/>
      </c>
      <c r="C6" s="4" t="n">
        <v>0.2</v>
      </c>
      <c r="D6">
        <f>IF(B6="","",B6*C6)</f>
        <v/>
      </c>
      <c r="E6">
        <f>IF(B6="","",C6)</f>
        <v/>
      </c>
    </row>
    <row r="7">
      <c r="A7" s="5" t="inlineStr">
        <is>
          <t>Note compétences en informatique (≥ 4 requis)</t>
        </is>
      </c>
      <c r="B7" s="6">
        <f>IF(SUM(E5:E6)=0,"",ROUND(SUM(D5:D6)/SUM(E5:E6),1))</f>
        <v/>
      </c>
    </row>
    <row r="9">
      <c r="A9" s="2" t="inlineStr">
        <is>
          <t>Domaine</t>
        </is>
      </c>
      <c r="B9" s="2" t="inlineStr">
        <is>
          <t>Note</t>
        </is>
      </c>
      <c r="C9" s="2" t="inlineStr">
        <is>
          <t>Poids</t>
        </is>
      </c>
      <c r="D9" s="2" t="inlineStr">
        <is>
          <t>Note × poids</t>
        </is>
      </c>
      <c r="E9" s="2" t="inlineStr">
        <is>
          <t>Poids pris en compte</t>
        </is>
      </c>
    </row>
    <row r="10">
      <c r="A10" t="inlineStr">
        <is>
          <t>Travail pratique individuel (TPI)</t>
        </is>
      </c>
      <c r="B10" s="3">
        <f>'TPI'!B6</f>
        <v/>
      </c>
      <c r="C10" s="4" t="n">
        <v>0.4</v>
      </c>
      <c r="D10">
        <f>IF(B10="","",B10*C10)</f>
        <v/>
      </c>
      <c r="E10">
        <f>IF(B10="","",C10)</f>
        <v/>
      </c>
    </row>
    <row r="11">
      <c r="A11" t="inlineStr">
        <is>
          <t>Culture générale (ECG)</t>
        </is>
      </c>
      <c r="B11" s="3">
        <f>'ECG'!B17</f>
        <v/>
      </c>
      <c r="C11" s="4" t="n">
        <v>0.2</v>
      </c>
      <c r="D11">
        <f>IF(B11="","",B11*C11)</f>
        <v/>
      </c>
      <c r="E11">
        <f>IF(B11="","",C11)</f>
        <v/>
      </c>
    </row>
    <row r="12">
      <c r="A12" t="inlineStr">
        <is>
          <t>Compétences en informatique</t>
        </is>
      </c>
      <c r="B12" s="3">
        <f>B7</f>
        <v/>
      </c>
      <c r="C12" s="4" t="n">
        <v>0.3</v>
      </c>
      <c r="D12">
        <f>IF(B12="","",B12*C12)</f>
        <v/>
      </c>
      <c r="E12">
        <f>IF(B12="","",C12)</f>
        <v/>
      </c>
    </row>
    <row r="13">
      <c r="A13" t="inlineStr">
        <is>
          <t>Compétences de base élargies (CBE)</t>
        </is>
      </c>
      <c r="B13" s="3">
        <f>'CBE'!B12</f>
        <v/>
      </c>
      <c r="C13" s="4" t="n">
        <v>0.1</v>
      </c>
      <c r="D13">
        <f>IF(B13="","",B13*C13)</f>
        <v/>
      </c>
      <c r="E13">
        <f>IF(B13="","",C13)</f>
        <v/>
      </c>
    </row>
    <row r="15">
      <c r="A15" s="5" t="inlineStr">
        <is>
          <t>Note globale (≥ 4 requis)</t>
        </is>
      </c>
      <c r="B15" s="6">
        <f>IF(SUM(E10:E13)=0,"",ROUND(SUM(D10:D13)/SUM(E10:E13),1))</f>
        <v/>
      </c>
    </row>
    <row r="17">
      <c r="A17" s="7" t="inlineStr">
        <is>
          <t>Réussite</t>
        </is>
      </c>
      <c r="B17" s="7">
        <f>IF(OR(B15="",B10="",B12=""),"Incomplet",IF(AND(B15&gt;=4,B10&gt;=4,B12&gt;=4),"Réussi","Échec"))</f>
        <v/>
      </c>
    </row>
    <row r="18">
      <c r="A18" t="inlineStr">
        <is>
          <t>Conditions : note globale ≥ 4, TPI ≥ 4, compétences en informatique ≥ 4.</t>
        </is>
      </c>
    </row>
  </sheetData>
  <conditionalFormatting sqref="B5:B15">
    <cfRule type="cellIs" priority="1" operator="lessThan" dxfId="0">
      <formula>4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0" customWidth="1" min="3" max="3"/>
  </cols>
  <sheetData>
    <row r="1">
      <c r="A1" s="2" t="inlineStr">
        <is>
          <t>Module</t>
        </is>
      </c>
      <c r="B1" s="2" t="inlineStr">
        <is>
          <t>Nom</t>
        </is>
      </c>
      <c r="C1" s="2" t="inlineStr">
        <is>
          <t>Note</t>
        </is>
      </c>
    </row>
    <row r="2">
      <c r="A2" t="n">
        <v>114</v>
      </c>
      <c r="B2" t="inlineStr">
        <is>
          <t>Mettre en oeuvre des systèmes de codification, de compression et d’encryptage</t>
        </is>
      </c>
      <c r="C2" s="8" t="n"/>
    </row>
    <row r="3">
      <c r="A3" t="n">
        <v>117</v>
      </c>
      <c r="B3" t="inlineStr">
        <is>
          <t>Mettre en place l’infrastructure informatique et réseau d’une petite entreprise</t>
        </is>
      </c>
      <c r="C3" s="8" t="n"/>
    </row>
    <row r="4">
      <c r="A4" t="n">
        <v>122</v>
      </c>
      <c r="B4" t="inlineStr">
        <is>
          <t>Automatiser des procédures à l’aide de scripts</t>
        </is>
      </c>
      <c r="C4" s="8" t="n"/>
    </row>
    <row r="5">
      <c r="A5" t="n">
        <v>162</v>
      </c>
      <c r="B5" t="inlineStr">
        <is>
          <t>Analyser et modéliser des données</t>
        </is>
      </c>
      <c r="C5" s="8" t="n"/>
    </row>
    <row r="6">
      <c r="A6" t="n">
        <v>164</v>
      </c>
      <c r="B6" t="inlineStr">
        <is>
          <t>Créer des bases de données et y insérer des données</t>
        </is>
      </c>
      <c r="C6" s="8" t="n"/>
    </row>
    <row r="7">
      <c r="A7" t="n">
        <v>165</v>
      </c>
      <c r="B7" t="inlineStr">
        <is>
          <t>Utiliser des bases de données NoSQL</t>
        </is>
      </c>
      <c r="C7" s="8" t="n"/>
    </row>
    <row r="8">
      <c r="A8" t="n">
        <v>183</v>
      </c>
      <c r="B8" t="inlineStr">
        <is>
          <t>Implémenter la sécurité d’une application</t>
        </is>
      </c>
      <c r="C8" s="8" t="n"/>
    </row>
    <row r="9">
      <c r="A9" t="n">
        <v>231</v>
      </c>
      <c r="B9" t="inlineStr">
        <is>
          <t>Appliquer la protection et la sécurité des données</t>
        </is>
      </c>
      <c r="C9" s="8" t="n"/>
    </row>
    <row r="10">
      <c r="A10" t="n">
        <v>241</v>
      </c>
      <c r="B10" t="inlineStr">
        <is>
          <t>Initialiser des solutions ICT innovantes</t>
        </is>
      </c>
      <c r="C10" s="8" t="n"/>
    </row>
    <row r="11">
      <c r="A11" t="n">
        <v>245</v>
      </c>
      <c r="B11" t="inlineStr">
        <is>
          <t>Mettre en oeuvre des solutions ICT innovantes</t>
        </is>
      </c>
      <c r="C11" s="8" t="n"/>
    </row>
    <row r="12">
      <c r="A12" t="n">
        <v>254</v>
      </c>
      <c r="B12" t="inlineStr">
        <is>
          <t>Décrire des processus métier dans son propre environnement professionnel</t>
        </is>
      </c>
      <c r="C12" s="8" t="n"/>
    </row>
    <row r="13">
      <c r="A13" t="n">
        <v>293</v>
      </c>
      <c r="B13" t="inlineStr">
        <is>
          <t>Créer et publier un site Web</t>
        </is>
      </c>
      <c r="C13" s="8" t="n"/>
    </row>
    <row r="14">
      <c r="A14" t="n">
        <v>306</v>
      </c>
      <c r="B14" t="inlineStr">
        <is>
          <t>Réaliser de petits projets dans son propre environnement professionnel</t>
        </is>
      </c>
      <c r="C14" s="8" t="n"/>
    </row>
    <row r="15">
      <c r="A15" t="n">
        <v>319</v>
      </c>
      <c r="B15" t="inlineStr">
        <is>
          <t>Concevoir et implémenter des applications</t>
        </is>
      </c>
      <c r="C15" s="8" t="n"/>
    </row>
    <row r="16">
      <c r="A16" t="n">
        <v>320</v>
      </c>
      <c r="B16" t="inlineStr">
        <is>
          <t>Programmer orienté objet</t>
        </is>
      </c>
      <c r="C16" s="8" t="n"/>
    </row>
    <row r="17">
      <c r="A17" t="n">
        <v>321</v>
      </c>
      <c r="B17" t="inlineStr">
        <is>
          <t>Programmer des systèmes distribués</t>
        </is>
      </c>
      <c r="C17" s="8" t="n"/>
    </row>
    <row r="18">
      <c r="A18" t="n">
        <v>322</v>
      </c>
      <c r="B18" t="inlineStr">
        <is>
          <t>Concevoir et implémenter des interfaces utilisateur</t>
        </is>
      </c>
      <c r="C18" s="8" t="n"/>
    </row>
    <row r="19">
      <c r="A19" t="n">
        <v>323</v>
      </c>
      <c r="B19" t="inlineStr">
        <is>
          <t>Programmer de manière fonctionnelle</t>
        </is>
      </c>
      <c r="C19" s="8" t="n"/>
    </row>
    <row r="20">
      <c r="A20" t="n">
        <v>324</v>
      </c>
      <c r="B20" t="inlineStr">
        <is>
          <t>Prendre en charge des processus DevOps avec des outils logiciels</t>
        </is>
      </c>
      <c r="C20" s="8" t="n"/>
    </row>
    <row r="21">
      <c r="A21" t="n">
        <v>332</v>
      </c>
      <c r="B21" t="inlineStr">
        <is>
          <t>Concevoir et implémenter des interfaces utilisateurs</t>
        </is>
      </c>
      <c r="C21" s="8" t="n"/>
    </row>
    <row r="22">
      <c r="A22" t="n">
        <v>346</v>
      </c>
      <c r="B22" t="inlineStr">
        <is>
          <t>Concevoir et réaliser des solutions cloud</t>
        </is>
      </c>
      <c r="C22" s="8" t="n"/>
    </row>
    <row r="23">
      <c r="A23" t="n">
        <v>347</v>
      </c>
      <c r="B23" t="inlineStr">
        <is>
          <t>Utiliser un service avec des conteneurs</t>
        </is>
      </c>
      <c r="C23" s="8" t="n"/>
    </row>
    <row r="24">
      <c r="A24" t="n">
        <v>426</v>
      </c>
      <c r="B24" t="inlineStr">
        <is>
          <t>Développer un logiciel avec des méthodes agiles</t>
        </is>
      </c>
      <c r="C24" s="8" t="n"/>
    </row>
    <row r="25">
      <c r="A25" t="n">
        <v>431</v>
      </c>
      <c r="B25" t="inlineStr">
        <is>
          <t>Exécuter des mandats de manière autonome dans un environnement professionnel</t>
        </is>
      </c>
      <c r="C25" s="8" t="n"/>
    </row>
    <row r="26">
      <c r="A26" t="n">
        <v>450</v>
      </c>
      <c r="B26" t="inlineStr">
        <is>
          <t>Tester des applications</t>
        </is>
      </c>
      <c r="C26" s="8" t="n"/>
    </row>
    <row r="28">
      <c r="B28" s="5" t="inlineStr">
        <is>
          <t>Moyenne école professionnelle</t>
        </is>
      </c>
      <c r="C28" s="6">
        <f>IF(COUNT(C2:C26)=0,"",ROUND(AVERAGE(C2:C26),1))</f>
        <v/>
      </c>
    </row>
    <row r="29">
      <c r="B29" t="inlineStr">
        <is>
          <t>Moyenne arithmétique des modules saisis, arrondie au dixième.</t>
        </is>
      </c>
    </row>
  </sheetData>
  <conditionalFormatting sqref="C2:C26">
    <cfRule type="cellIs" priority="1" operator="lessThan" dxfId="0">
      <formula>4</formula>
    </cfRule>
  </conditionalFormatting>
  <dataValidations count="1">
    <dataValidation sqref="C2:C26" showDropDown="0" showInputMessage="0" showErrorMessage="1" allowBlank="0" error="Note entre 1 et 6" type="decimal" operator="between">
      <formula1>1</formula1>
      <formula2>6</formula2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0" customWidth="1" min="2" max="2"/>
    <col width="10" customWidth="1" min="3" max="3"/>
  </cols>
  <sheetData>
    <row r="1">
      <c r="A1" s="2" t="inlineStr">
        <is>
          <t>Module</t>
        </is>
      </c>
      <c r="B1" s="2" t="inlineStr">
        <is>
          <t>Nom</t>
        </is>
      </c>
      <c r="C1" s="2" t="inlineStr">
        <is>
          <t>Note</t>
        </is>
      </c>
    </row>
    <row r="2">
      <c r="A2" t="n">
        <v>106</v>
      </c>
      <c r="B2" t="inlineStr">
        <is>
          <t>Interroger, traiter et assurer la maintenance des bases de données</t>
        </is>
      </c>
      <c r="C2" s="8" t="n"/>
    </row>
    <row r="3">
      <c r="A3" t="n">
        <v>107</v>
      </c>
      <c r="B3" t="inlineStr">
        <is>
          <t>Mettre en oeuvre des solutions ICT avec la technologie block-chain</t>
        </is>
      </c>
      <c r="C3" s="8" t="n"/>
    </row>
    <row r="4">
      <c r="A4" t="n">
        <v>109</v>
      </c>
      <c r="B4" t="inlineStr">
        <is>
          <t>Exploiter et surveiller des services dans le cloud public</t>
        </is>
      </c>
      <c r="C4" s="8" t="n"/>
    </row>
    <row r="5">
      <c r="A5" t="n">
        <v>110</v>
      </c>
      <c r="B5" t="inlineStr">
        <is>
          <t>Analyser et représenter des données avec des outils</t>
        </is>
      </c>
      <c r="C5" s="8" t="n"/>
    </row>
    <row r="6">
      <c r="A6" t="n">
        <v>185</v>
      </c>
      <c r="B6" t="inlineStr">
        <is>
          <t>Analyser et implémenter des mesures visant à assurer la sécurité informatique des PME</t>
        </is>
      </c>
      <c r="C6" s="8" t="n"/>
    </row>
    <row r="7">
      <c r="A7" t="n">
        <v>187</v>
      </c>
      <c r="B7" t="inlineStr">
        <is>
          <t>Mettre en service un Poste de travail ICT avec le système d’exploitation</t>
        </is>
      </c>
      <c r="C7" s="8" t="n"/>
    </row>
    <row r="8">
      <c r="A8" t="n">
        <v>190</v>
      </c>
      <c r="B8" t="inlineStr">
        <is>
          <t>Mettre en place et exploiter une plateforme de virtualisation</t>
        </is>
      </c>
      <c r="C8" s="8" t="n"/>
    </row>
    <row r="9">
      <c r="A9" t="n">
        <v>210</v>
      </c>
      <c r="B9" t="inlineStr">
        <is>
          <t>Utiliser un cloud public pour des applications</t>
        </is>
      </c>
      <c r="C9" s="8" t="n"/>
    </row>
    <row r="10">
      <c r="A10" t="n">
        <v>216</v>
      </c>
      <c r="B10" t="inlineStr">
        <is>
          <t>Intégrer les terminaux IoE dans une plateforme existante</t>
        </is>
      </c>
      <c r="C10" s="8" t="n"/>
    </row>
    <row r="11">
      <c r="A11" t="n">
        <v>217</v>
      </c>
      <c r="B11" t="inlineStr">
        <is>
          <t>Concevoir, planifier et mettre en place un service pour l’IoE</t>
        </is>
      </c>
      <c r="C11" s="8" t="n"/>
    </row>
    <row r="12">
      <c r="A12" t="n">
        <v>223</v>
      </c>
      <c r="B12" t="inlineStr">
        <is>
          <t>Réaliser des applications multi-utilisateurs orientées objets</t>
        </is>
      </c>
      <c r="C12" s="8" t="n"/>
    </row>
    <row r="13">
      <c r="A13" t="n">
        <v>248</v>
      </c>
      <c r="B13" t="inlineStr">
        <is>
          <t>Réaliser des solutions ICT avec des technologies actuelles</t>
        </is>
      </c>
      <c r="C13" s="8" t="n"/>
    </row>
    <row r="14">
      <c r="A14" t="n">
        <v>259</v>
      </c>
      <c r="B14" t="inlineStr">
        <is>
          <t>Développer des solutions ICT avec le Machine Learning</t>
        </is>
      </c>
      <c r="C14" s="8" t="n"/>
    </row>
    <row r="15">
      <c r="A15" t="n">
        <v>294</v>
      </c>
      <c r="B15" t="inlineStr">
        <is>
          <t>Réaliser le front-end d’une application Web interactive</t>
        </is>
      </c>
      <c r="C15" s="8" t="n"/>
    </row>
    <row r="16">
      <c r="A16" t="n">
        <v>295</v>
      </c>
      <c r="B16" t="inlineStr">
        <is>
          <t>Réaliser le back-end pour des applications</t>
        </is>
      </c>
      <c r="C16" s="8" t="n"/>
    </row>
    <row r="17">
      <c r="A17" t="n">
        <v>335</v>
      </c>
      <c r="B17" t="inlineStr">
        <is>
          <t>Réaliser une application pour mobile</t>
        </is>
      </c>
      <c r="C17" s="8" t="n"/>
    </row>
    <row r="19">
      <c r="B19" s="5" t="inlineStr">
        <is>
          <t>Moyenne cours interentreprises</t>
        </is>
      </c>
      <c r="C19" s="6">
        <f>IF(COUNT(C2:C17)=0,"",ROUND(AVERAGE(C2:C17),1))</f>
        <v/>
      </c>
    </row>
    <row r="20">
      <c r="B20" t="inlineStr">
        <is>
          <t>Moyenne arithmétique des modules saisis, arrondie au dixième.</t>
        </is>
      </c>
    </row>
  </sheetData>
  <conditionalFormatting sqref="C2:C17">
    <cfRule type="cellIs" priority="1" operator="lessThan" dxfId="0">
      <formula>4</formula>
    </cfRule>
  </conditionalFormatting>
  <dataValidations count="1">
    <dataValidation sqref="C2:C17" showDropDown="0" showInputMessage="0" showErrorMessage="1" allowBlank="0" error="Note entre 1 et 6" type="decimal" operator="between">
      <formula1>1</formula1>
      <formula2>6</formula2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  <col width="14" customWidth="1" min="4" max="4"/>
    <col width="20" customWidth="1" min="5" max="5"/>
  </cols>
  <sheetData>
    <row r="1">
      <c r="A1" s="2" t="inlineStr">
        <is>
          <t>Partie</t>
        </is>
      </c>
      <c r="B1" s="2" t="inlineStr">
        <is>
          <t>Note</t>
        </is>
      </c>
      <c r="C1" s="2" t="inlineStr">
        <is>
          <t>Poids</t>
        </is>
      </c>
      <c r="D1" s="2" t="inlineStr">
        <is>
          <t>Note × poids</t>
        </is>
      </c>
      <c r="E1" s="2" t="inlineStr">
        <is>
          <t>Poids pris en compte</t>
        </is>
      </c>
    </row>
    <row r="2">
      <c r="A2" t="inlineStr">
        <is>
          <t>Exécution et résultat du travail</t>
        </is>
      </c>
      <c r="B2" s="8" t="n"/>
      <c r="C2" s="4" t="n">
        <v>0.5</v>
      </c>
      <c r="D2">
        <f>IF(B2="","",B2*C2)</f>
        <v/>
      </c>
      <c r="E2">
        <f>IF(B2="","",C2)</f>
        <v/>
      </c>
    </row>
    <row r="3">
      <c r="A3" t="inlineStr">
        <is>
          <t>Documentation</t>
        </is>
      </c>
      <c r="B3" s="8" t="n"/>
      <c r="C3" s="4" t="n">
        <v>0.2</v>
      </c>
      <c r="D3">
        <f>IF(B3="","",B3*C3)</f>
        <v/>
      </c>
      <c r="E3">
        <f>IF(B3="","",C3)</f>
        <v/>
      </c>
    </row>
    <row r="4">
      <c r="A4" t="inlineStr">
        <is>
          <t>Présentation et entretien professionnel</t>
        </is>
      </c>
      <c r="B4" s="8" t="n"/>
      <c r="C4" s="4" t="n">
        <v>0.3</v>
      </c>
      <c r="D4">
        <f>IF(B4="","",B4*C4)</f>
        <v/>
      </c>
      <c r="E4">
        <f>IF(B4="","",C4)</f>
        <v/>
      </c>
    </row>
    <row r="6">
      <c r="A6" s="5" t="inlineStr">
        <is>
          <t>Note TPI (≥ 4 requis)</t>
        </is>
      </c>
      <c r="B6" s="6">
        <f>IF(SUM(E2:E4)=0,"",ROUND(SUM(D2:D4)/SUM(E2:E4),1))</f>
        <v/>
      </c>
    </row>
  </sheetData>
  <conditionalFormatting sqref="B2:B4">
    <cfRule type="cellIs" priority="1" operator="lessThan" dxfId="0">
      <formula>4</formula>
    </cfRule>
  </conditionalFormatting>
  <conditionalFormatting sqref="B6">
    <cfRule type="cellIs" priority="2" operator="lessThan" dxfId="0">
      <formula>4</formula>
    </cfRule>
  </conditionalFormatting>
  <dataValidations count="1">
    <dataValidation sqref="B2:B4" showDropDown="0" showInputMessage="0" showErrorMessage="1" allowBlank="0" error="Note entre 1 et 6" type="decimal" operator="between">
      <formula1>1</formula1>
      <formula2>6</formula2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0" customWidth="1" min="3" max="3"/>
    <col width="14" customWidth="1" min="4" max="4"/>
    <col width="20" customWidth="1" min="5" max="5"/>
  </cols>
  <sheetData>
    <row r="1">
      <c r="A1" s="2" t="inlineStr">
        <is>
          <t>Semestre</t>
        </is>
      </c>
      <c r="B1" s="2" t="inlineStr">
        <is>
          <t>Note semestrielle</t>
        </is>
      </c>
    </row>
    <row r="2">
      <c r="A2" t="inlineStr">
        <is>
          <t>Semestre 1</t>
        </is>
      </c>
      <c r="B2" s="8" t="n"/>
    </row>
    <row r="3">
      <c r="A3" t="inlineStr">
        <is>
          <t>Semestre 2</t>
        </is>
      </c>
      <c r="B3" s="8" t="n"/>
    </row>
    <row r="4">
      <c r="A4" t="inlineStr">
        <is>
          <t>Semestre 3</t>
        </is>
      </c>
      <c r="B4" s="8" t="n"/>
    </row>
    <row r="5">
      <c r="A5" t="inlineStr">
        <is>
          <t>Semestre 4</t>
        </is>
      </c>
      <c r="B5" s="8" t="n"/>
    </row>
    <row r="6">
      <c r="A6" t="inlineStr">
        <is>
          <t>Semestre 5</t>
        </is>
      </c>
      <c r="B6" s="8" t="n"/>
    </row>
    <row r="7">
      <c r="A7" t="inlineStr">
        <is>
          <t>Semestre 6</t>
        </is>
      </c>
      <c r="B7" s="8" t="n"/>
    </row>
    <row r="8">
      <c r="A8" t="inlineStr">
        <is>
          <t>Semestre 7</t>
        </is>
      </c>
      <c r="B8" s="8" t="n"/>
    </row>
    <row r="9">
      <c r="A9" t="inlineStr">
        <is>
          <t>Semestre 8</t>
        </is>
      </c>
      <c r="B9" s="8" t="n"/>
    </row>
    <row r="10">
      <c r="A10" s="5" t="inlineStr">
        <is>
          <t>Note d'expérience (arrondie à la demi-note)</t>
        </is>
      </c>
      <c r="B10" s="6">
        <f>IF(COUNT(B2:B9)=0,"",ROUND(AVERAGE(B2:B9)*2,0)/2)</f>
        <v/>
      </c>
    </row>
    <row r="12">
      <c r="A12" s="2" t="inlineStr">
        <is>
          <t>Partie</t>
        </is>
      </c>
      <c r="B12" s="2" t="inlineStr">
        <is>
          <t>Note</t>
        </is>
      </c>
      <c r="C12" s="2" t="inlineStr">
        <is>
          <t>Poids</t>
        </is>
      </c>
      <c r="D12" s="2" t="inlineStr">
        <is>
          <t>Note × poids</t>
        </is>
      </c>
      <c r="E12" s="2" t="inlineStr">
        <is>
          <t>Poids pris en compte</t>
        </is>
      </c>
    </row>
    <row r="13">
      <c r="A13" t="inlineStr">
        <is>
          <t>Travail personnel d'approfondissement (TPA)</t>
        </is>
      </c>
      <c r="B13" s="8" t="n"/>
      <c r="C13" s="4" t="n">
        <v>0.3333333333333333</v>
      </c>
      <c r="D13">
        <f>IF(B13="","",B13*C13)</f>
        <v/>
      </c>
      <c r="E13">
        <f>IF(B13="","",C13)</f>
        <v/>
      </c>
    </row>
    <row r="14">
      <c r="A14" t="inlineStr">
        <is>
          <t>Examen final</t>
        </is>
      </c>
      <c r="B14" s="8" t="n"/>
      <c r="C14" s="4" t="n">
        <v>0.3333333333333333</v>
      </c>
      <c r="D14">
        <f>IF(B14="","",B14*C14)</f>
        <v/>
      </c>
      <c r="E14">
        <f>IF(B14="","",C14)</f>
        <v/>
      </c>
    </row>
    <row r="15">
      <c r="A15" t="inlineStr">
        <is>
          <t>Note d'expérience</t>
        </is>
      </c>
      <c r="B15" s="3">
        <f>B10</f>
        <v/>
      </c>
      <c r="C15" s="4" t="n">
        <v>0.3333333333333333</v>
      </c>
      <c r="D15">
        <f>IF(B15="","",B15*C15)</f>
        <v/>
      </c>
      <c r="E15">
        <f>IF(B15="","",C15)</f>
        <v/>
      </c>
    </row>
    <row r="17">
      <c r="A17" s="5" t="inlineStr">
        <is>
          <t>Note culture générale</t>
        </is>
      </c>
      <c r="B17" s="6">
        <f>IF(SUM(E13:E15)=0,"",ROUND(SUM(D13:D15)/SUM(E13:E15),1))</f>
        <v/>
      </c>
    </row>
  </sheetData>
  <conditionalFormatting sqref="B2:B9">
    <cfRule type="cellIs" priority="1" operator="lessThan" dxfId="0">
      <formula>4</formula>
    </cfRule>
  </conditionalFormatting>
  <conditionalFormatting sqref="B17">
    <cfRule type="cellIs" priority="2" operator="lessThan" dxfId="0">
      <formula>4</formula>
    </cfRule>
  </conditionalFormatting>
  <dataValidations count="2">
    <dataValidation sqref="B2:B9" showDropDown="0" showInputMessage="0" showErrorMessage="1" allowBlank="0" error="Note entre 1 et 6" type="decimal" operator="between">
      <formula1>1</formula1>
      <formula2>6</formula2>
    </dataValidation>
    <dataValidation sqref="B13:B14" showDropDown="0" showInputMessage="0" showErrorMessage="1" allowBlank="0" error="Note entre 1 et 6" type="decimal" operator="between">
      <formula1>1</formula1>
      <formula2>6</formula2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</cols>
  <sheetData>
    <row r="1">
      <c r="A1" s="2" t="inlineStr">
        <is>
          <t>Semestre</t>
        </is>
      </c>
      <c r="B1" s="2" t="inlineStr">
        <is>
          <t>Mathématiques</t>
        </is>
      </c>
      <c r="C1" s="2" t="inlineStr">
        <is>
          <t>Anglais</t>
        </is>
      </c>
    </row>
    <row r="2">
      <c r="A2" t="inlineStr">
        <is>
          <t>Semestre 1</t>
        </is>
      </c>
      <c r="B2" s="8" t="n"/>
      <c r="C2" s="8" t="n"/>
    </row>
    <row r="3">
      <c r="A3" t="inlineStr">
        <is>
          <t>Semestre 2</t>
        </is>
      </c>
      <c r="B3" s="8" t="n"/>
      <c r="C3" s="8" t="n"/>
    </row>
    <row r="4">
      <c r="A4" t="inlineStr">
        <is>
          <t>Semestre 3</t>
        </is>
      </c>
      <c r="B4" s="8" t="n"/>
      <c r="C4" s="8" t="n"/>
    </row>
    <row r="5">
      <c r="A5" t="inlineStr">
        <is>
          <t>Semestre 4</t>
        </is>
      </c>
      <c r="B5" s="8" t="n"/>
      <c r="C5" s="8" t="n"/>
    </row>
    <row r="6">
      <c r="A6" t="inlineStr">
        <is>
          <t>Semestre 5</t>
        </is>
      </c>
      <c r="B6" s="8" t="n"/>
      <c r="C6" s="8" t="n"/>
    </row>
    <row r="7">
      <c r="A7" t="inlineStr">
        <is>
          <t>Semestre 6</t>
        </is>
      </c>
      <c r="B7" s="8" t="n"/>
      <c r="C7" s="8" t="n"/>
    </row>
    <row r="8">
      <c r="A8" t="inlineStr">
        <is>
          <t>Semestre 7</t>
        </is>
      </c>
      <c r="B8" s="8" t="n"/>
      <c r="C8" s="8" t="n"/>
    </row>
    <row r="9">
      <c r="A9" t="inlineStr">
        <is>
          <t>Semestre 8</t>
        </is>
      </c>
      <c r="B9" s="8" t="n"/>
      <c r="C9" s="8" t="n"/>
    </row>
    <row r="10">
      <c r="A10" s="5" t="inlineStr">
        <is>
          <t>Moyenne (arrondie à la demi-note)</t>
        </is>
      </c>
      <c r="B10" s="6">
        <f>IF(COUNT(B2:B9)=0,"",ROUND(AVERAGE(B2:B9)*2,0)/2)</f>
        <v/>
      </c>
      <c r="C10" s="6">
        <f>IF(COUNT(C2:C9)=0,"",ROUND(AVERAGE(C2:C9)*2,0)/2)</f>
        <v/>
      </c>
    </row>
    <row r="12">
      <c r="A12" s="5" t="inlineStr">
        <is>
          <t>Note CBE (Math 50 % / Anglais 50 %)</t>
        </is>
      </c>
      <c r="B12" s="6">
        <f>IF(COUNT(B10:C10)=0,"",ROUND(AVERAGE(B10:C10),1))</f>
        <v/>
      </c>
    </row>
  </sheetData>
  <conditionalFormatting sqref="B2:C9">
    <cfRule type="cellIs" priority="1" operator="lessThan" dxfId="0">
      <formula>4</formula>
    </cfRule>
  </conditionalFormatting>
  <conditionalFormatting sqref="B12">
    <cfRule type="cellIs" priority="2" operator="lessThan" dxfId="0">
      <formula>4</formula>
    </cfRule>
  </conditionalFormatting>
  <dataValidations count="1">
    <dataValidation sqref="B2:C9" showDropDown="0" showInputMessage="0" showErrorMessage="1" allowBlank="0" error="Note entre 1 et 6" type="decimal" operator="between">
      <formula1>1</formula1>
      <formula2>6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2026-10-16T06:25:00Z</dcterms:created>
  <dcterms:modified xsi:type="dcterms:W3CDTF">2026-10-16T06:25:00Z</dcterms:modified>
</cp:coreProperties>
</file>